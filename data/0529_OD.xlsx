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aelescobar071197/Downloads/"/>
    </mc:Choice>
  </mc:AlternateContent>
  <xr:revisionPtr revIDLastSave="0" documentId="13_ncr:1_{44678BBF-BE0C-AF45-938D-30F2923087BA}" xr6:coauthVersionLast="47" xr6:coauthVersionMax="47" xr10:uidLastSave="{00000000-0000-0000-0000-000000000000}"/>
  <bookViews>
    <workbookView xWindow="1800" yWindow="820" windowWidth="33820" windowHeight="22600" xr2:uid="{FF819062-F9E5-F345-8EDF-04B901B805AF}"/>
  </bookViews>
  <sheets>
    <sheet name="Friday" sheetId="1" r:id="rId1"/>
    <sheet name="Stock Solutions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8" i="1"/>
  <c r="F10" i="1"/>
  <c r="F12" i="1"/>
  <c r="F14" i="1"/>
  <c r="F16" i="1"/>
  <c r="F18" i="1"/>
  <c r="F20" i="1"/>
  <c r="F22" i="1"/>
  <c r="F24" i="1"/>
  <c r="F26" i="1"/>
  <c r="F28" i="1"/>
  <c r="F30" i="1"/>
  <c r="F32" i="1"/>
  <c r="F34" i="1"/>
  <c r="F4" i="1"/>
</calcChain>
</file>

<file path=xl/sharedStrings.xml><?xml version="1.0" encoding="utf-8"?>
<sst xmlns="http://schemas.openxmlformats.org/spreadsheetml/2006/main" count="40" uniqueCount="39">
  <si>
    <t>UV spectophotometer (Absorbance = 600 nm)</t>
  </si>
  <si>
    <t>Sample</t>
  </si>
  <si>
    <t>Plate</t>
  </si>
  <si>
    <t>Repetition</t>
  </si>
  <si>
    <t>COLLECTION TIME: 12 PM</t>
  </si>
  <si>
    <t xml:space="preserve"> 6-2-1</t>
  </si>
  <si>
    <t xml:space="preserve"> 6-2-2</t>
  </si>
  <si>
    <t xml:space="preserve"> 6-6-1</t>
  </si>
  <si>
    <t xml:space="preserve"> 6-6-2</t>
  </si>
  <si>
    <t xml:space="preserve"> 6-7-2</t>
  </si>
  <si>
    <t xml:space="preserve"> 6-8-1</t>
  </si>
  <si>
    <t xml:space="preserve"> 6-8-2</t>
  </si>
  <si>
    <t xml:space="preserve"> 6-10-2</t>
  </si>
  <si>
    <t xml:space="preserve"> 8-1-2</t>
  </si>
  <si>
    <t xml:space="preserve"> 8-7-1</t>
  </si>
  <si>
    <t xml:space="preserve"> 8-10-2</t>
  </si>
  <si>
    <t xml:space="preserve"> 9-1-1</t>
  </si>
  <si>
    <t xml:space="preserve"> 9-1-2</t>
  </si>
  <si>
    <t xml:space="preserve"> 9-9-2</t>
  </si>
  <si>
    <t xml:space="preserve"> 9-10-1</t>
  </si>
  <si>
    <t>10_10_1</t>
  </si>
  <si>
    <t>10_9_1</t>
  </si>
  <si>
    <t>10_7_2</t>
  </si>
  <si>
    <t>8_2_2</t>
  </si>
  <si>
    <t>10_9_2</t>
  </si>
  <si>
    <t>9_6_2</t>
  </si>
  <si>
    <t>8_3_2</t>
  </si>
  <si>
    <t>10_10_2</t>
  </si>
  <si>
    <t>8_5_1</t>
  </si>
  <si>
    <t>9_2_1</t>
  </si>
  <si>
    <t>9_2_2</t>
  </si>
  <si>
    <t>8_5_2</t>
  </si>
  <si>
    <t>6_3_2</t>
  </si>
  <si>
    <t>Stock Solution List</t>
  </si>
  <si>
    <t>Raw Cultive ABS 600nm</t>
  </si>
  <si>
    <t>Most Likely P.aeruginosa</t>
  </si>
  <si>
    <t>Total</t>
  </si>
  <si>
    <t>Average T4 (4PM)</t>
  </si>
  <si>
    <t>Average T0 (x dilution factor 1:100)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</si>
</sst>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16"/>
      <color theme="1"/>
      <name val="Arial"/>
      <family val="2"/>
    </font>
    <font>
      <sz val="28"/>
      <color theme="1"/>
      <name val="Arial"/>
      <family val="2"/>
    </font>
    <font>
      <sz val="20"/>
      <color theme="1"/>
      <name val="Arial"/>
      <family val="2"/>
    </font>
    <font>
      <sz val="8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11" xfId="0" applyFont="1" applyBorder="1"/>
    <xf numFmtId="164" fontId="6" fillId="0" borderId="11" xfId="0" applyNumberFormat="1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76-10F4-1547-8A25-CAC5B9A59867}">
  <dimension ref="B1:L35"/>
  <sheetViews>
    <sheetView tabSelected="1" zoomScale="125" workbookViewId="0">
      <selection activeCell="J27" sqref="J27"/>
    </sheetView>
  </sheetViews>
  <sheetFormatPr baseColWidth="10" defaultRowHeight="16" x14ac:dyDescent="0.2"/>
  <cols>
    <col min="5" max="5" width="22.1640625" customWidth="1"/>
    <col min="6" max="6" width="20.1640625" customWidth="1"/>
  </cols>
  <sheetData>
    <row r="1" spans="2:12" ht="37" x14ac:dyDescent="0.2">
      <c r="B1" s="11" t="s">
        <v>4</v>
      </c>
      <c r="C1" s="11"/>
      <c r="D1" s="11"/>
      <c r="E1" s="11"/>
      <c r="F1" s="11"/>
      <c r="G1" s="11"/>
      <c r="H1" s="11"/>
    </row>
    <row r="3" spans="2:12" ht="34" x14ac:dyDescent="0.2">
      <c r="B3" s="1" t="s">
        <v>2</v>
      </c>
      <c r="C3" s="1" t="s">
        <v>1</v>
      </c>
      <c r="D3" s="1" t="s">
        <v>3</v>
      </c>
      <c r="E3" s="2" t="s">
        <v>0</v>
      </c>
      <c r="F3" s="2" t="s">
        <v>38</v>
      </c>
      <c r="G3" s="16" t="s">
        <v>37</v>
      </c>
      <c r="H3" s="17"/>
    </row>
    <row r="4" spans="2:12" x14ac:dyDescent="0.2">
      <c r="B4" s="18">
        <v>6</v>
      </c>
      <c r="C4" s="18">
        <v>3</v>
      </c>
      <c r="D4" s="18">
        <v>1</v>
      </c>
      <c r="E4" s="1">
        <v>2E-3</v>
      </c>
      <c r="F4" s="21">
        <f>AVERAGE(E4:E5)*100</f>
        <v>0.2</v>
      </c>
      <c r="G4" s="12">
        <v>0.23799999999999999</v>
      </c>
      <c r="H4" s="13"/>
      <c r="K4" s="8"/>
      <c r="L4" s="9"/>
    </row>
    <row r="5" spans="2:12" x14ac:dyDescent="0.2">
      <c r="B5" s="18"/>
      <c r="C5" s="18"/>
      <c r="D5" s="18"/>
      <c r="E5" s="1">
        <v>2E-3</v>
      </c>
      <c r="F5" s="21"/>
      <c r="G5" s="14"/>
      <c r="H5" s="15"/>
      <c r="K5" s="8"/>
      <c r="L5" s="9"/>
    </row>
    <row r="6" spans="2:12" x14ac:dyDescent="0.2">
      <c r="B6" s="18"/>
      <c r="C6" s="18"/>
      <c r="D6" s="18">
        <v>2</v>
      </c>
      <c r="E6" s="1">
        <v>4.0000000000000001E-3</v>
      </c>
      <c r="F6" s="21">
        <f t="shared" ref="F6" si="0">AVERAGE(E6:E7)*100</f>
        <v>0.4</v>
      </c>
      <c r="G6" s="12">
        <v>0.22</v>
      </c>
      <c r="H6" s="13"/>
      <c r="K6" s="8"/>
      <c r="L6" s="9"/>
    </row>
    <row r="7" spans="2:12" x14ac:dyDescent="0.2">
      <c r="B7" s="18"/>
      <c r="C7" s="18"/>
      <c r="D7" s="18"/>
      <c r="E7" s="1">
        <v>4.0000000000000001E-3</v>
      </c>
      <c r="F7" s="21"/>
      <c r="G7" s="14"/>
      <c r="H7" s="15"/>
      <c r="K7" s="8"/>
      <c r="L7" s="9"/>
    </row>
    <row r="8" spans="2:12" x14ac:dyDescent="0.2">
      <c r="B8" s="19">
        <v>6</v>
      </c>
      <c r="C8" s="19">
        <v>4</v>
      </c>
      <c r="D8" s="1">
        <v>1</v>
      </c>
      <c r="E8" s="1">
        <v>4.0000000000000001E-3</v>
      </c>
      <c r="F8" s="21">
        <f t="shared" ref="F8" si="1">AVERAGE(E8:E9)*100</f>
        <v>0.4</v>
      </c>
      <c r="G8" s="12">
        <v>0.45</v>
      </c>
      <c r="H8" s="13"/>
      <c r="K8" s="8"/>
      <c r="L8" s="9"/>
    </row>
    <row r="9" spans="2:12" x14ac:dyDescent="0.2">
      <c r="B9" s="20"/>
      <c r="C9" s="20"/>
      <c r="D9" s="1">
        <v>2</v>
      </c>
      <c r="E9" s="1">
        <v>4.0000000000000001E-3</v>
      </c>
      <c r="F9" s="21"/>
      <c r="G9" s="14"/>
      <c r="H9" s="15"/>
      <c r="K9" s="8"/>
      <c r="L9" s="9"/>
    </row>
    <row r="10" spans="2:12" x14ac:dyDescent="0.2">
      <c r="B10" s="19">
        <v>8</v>
      </c>
      <c r="C10" s="19">
        <v>2</v>
      </c>
      <c r="D10" s="1">
        <v>1</v>
      </c>
      <c r="E10" s="1">
        <v>8.0000000000000002E-3</v>
      </c>
      <c r="F10" s="21">
        <f t="shared" ref="F10" si="2">AVERAGE(E10:E11)*100</f>
        <v>0.75</v>
      </c>
      <c r="G10" s="12">
        <v>0.92700000000000005</v>
      </c>
      <c r="H10" s="13"/>
      <c r="K10" s="8"/>
      <c r="L10" s="9"/>
    </row>
    <row r="11" spans="2:12" x14ac:dyDescent="0.2">
      <c r="B11" s="20"/>
      <c r="C11" s="20"/>
      <c r="D11" s="1">
        <v>2</v>
      </c>
      <c r="E11" s="1">
        <v>7.0000000000000001E-3</v>
      </c>
      <c r="F11" s="21"/>
      <c r="G11" s="14"/>
      <c r="H11" s="15"/>
      <c r="K11" s="8"/>
      <c r="L11" s="9"/>
    </row>
    <row r="12" spans="2:12" x14ac:dyDescent="0.2">
      <c r="B12" s="19">
        <v>8</v>
      </c>
      <c r="C12" s="19">
        <v>3</v>
      </c>
      <c r="D12" s="1">
        <v>1</v>
      </c>
      <c r="E12" s="1">
        <v>8.0000000000000002E-3</v>
      </c>
      <c r="F12" s="21">
        <f t="shared" ref="F12" si="3">AVERAGE(E12:E13)*100</f>
        <v>0.75</v>
      </c>
      <c r="G12" s="12">
        <v>0.89500000000000002</v>
      </c>
      <c r="H12" s="13"/>
      <c r="K12" s="8"/>
      <c r="L12" s="9"/>
    </row>
    <row r="13" spans="2:12" x14ac:dyDescent="0.2">
      <c r="B13" s="20"/>
      <c r="C13" s="20"/>
      <c r="D13" s="1">
        <v>2</v>
      </c>
      <c r="E13" s="1">
        <v>7.0000000000000001E-3</v>
      </c>
      <c r="F13" s="21"/>
      <c r="G13" s="14"/>
      <c r="H13" s="15"/>
      <c r="K13" s="8"/>
      <c r="L13" s="9"/>
    </row>
    <row r="14" spans="2:12" x14ac:dyDescent="0.2">
      <c r="B14" s="18">
        <v>8</v>
      </c>
      <c r="C14" s="18">
        <v>5</v>
      </c>
      <c r="D14" s="18">
        <v>1</v>
      </c>
      <c r="E14" s="1">
        <v>8.0000000000000002E-3</v>
      </c>
      <c r="F14" s="21">
        <f t="shared" ref="F14" si="4">AVERAGE(E14:E15)*100</f>
        <v>0.65</v>
      </c>
      <c r="G14" s="12">
        <v>0.83599999999999997</v>
      </c>
      <c r="H14" s="13"/>
      <c r="K14" s="8"/>
      <c r="L14" s="9"/>
    </row>
    <row r="15" spans="2:12" x14ac:dyDescent="0.2">
      <c r="B15" s="18"/>
      <c r="C15" s="18"/>
      <c r="D15" s="18"/>
      <c r="E15" s="1">
        <v>5.0000000000000001E-3</v>
      </c>
      <c r="F15" s="21"/>
      <c r="G15" s="14"/>
      <c r="H15" s="15"/>
      <c r="K15" s="8"/>
      <c r="L15" s="9"/>
    </row>
    <row r="16" spans="2:12" x14ac:dyDescent="0.2">
      <c r="B16" s="18"/>
      <c r="C16" s="18"/>
      <c r="D16" s="18">
        <v>2</v>
      </c>
      <c r="E16" s="1">
        <v>8.0000000000000002E-3</v>
      </c>
      <c r="F16" s="21">
        <f t="shared" ref="F16" si="5">AVERAGE(E16:E17)*100</f>
        <v>0.85000000000000009</v>
      </c>
      <c r="G16" s="12">
        <v>0.69699999999999995</v>
      </c>
      <c r="H16" s="13"/>
      <c r="K16" s="8"/>
      <c r="L16" s="9"/>
    </row>
    <row r="17" spans="2:12" x14ac:dyDescent="0.2">
      <c r="B17" s="18"/>
      <c r="C17" s="18"/>
      <c r="D17" s="18"/>
      <c r="E17" s="1">
        <v>8.9999999999999993E-3</v>
      </c>
      <c r="F17" s="21"/>
      <c r="G17" s="14"/>
      <c r="H17" s="15"/>
      <c r="K17" s="8"/>
      <c r="L17" s="9"/>
    </row>
    <row r="18" spans="2:12" x14ac:dyDescent="0.2">
      <c r="B18" s="18">
        <v>9</v>
      </c>
      <c r="C18" s="18">
        <v>2</v>
      </c>
      <c r="D18" s="18">
        <v>1</v>
      </c>
      <c r="E18" s="1">
        <v>1E-3</v>
      </c>
      <c r="F18" s="21">
        <f t="shared" ref="F18" si="6">AVERAGE(E18:E19)*100</f>
        <v>0.25</v>
      </c>
      <c r="G18" s="12">
        <v>0.83</v>
      </c>
      <c r="H18" s="13"/>
      <c r="K18" s="8"/>
      <c r="L18" s="9"/>
    </row>
    <row r="19" spans="2:12" x14ac:dyDescent="0.2">
      <c r="B19" s="18"/>
      <c r="C19" s="18"/>
      <c r="D19" s="18"/>
      <c r="E19" s="1">
        <v>4.0000000000000001E-3</v>
      </c>
      <c r="F19" s="21"/>
      <c r="G19" s="14"/>
      <c r="H19" s="15"/>
      <c r="K19" s="8"/>
      <c r="L19" s="9"/>
    </row>
    <row r="20" spans="2:12" x14ac:dyDescent="0.2">
      <c r="B20" s="18"/>
      <c r="C20" s="18"/>
      <c r="D20" s="18">
        <v>2</v>
      </c>
      <c r="E20" s="1">
        <v>1.4E-2</v>
      </c>
      <c r="F20" s="21">
        <f t="shared" ref="F20" si="7">AVERAGE(E20:E21)*100</f>
        <v>1.1499999999999999</v>
      </c>
      <c r="G20" s="12">
        <v>0.80900000000000005</v>
      </c>
      <c r="H20" s="13"/>
      <c r="K20" s="8"/>
      <c r="L20" s="9"/>
    </row>
    <row r="21" spans="2:12" x14ac:dyDescent="0.2">
      <c r="B21" s="18"/>
      <c r="C21" s="18"/>
      <c r="D21" s="18"/>
      <c r="E21" s="1">
        <v>8.9999999999999993E-3</v>
      </c>
      <c r="F21" s="21"/>
      <c r="G21" s="14"/>
      <c r="H21" s="15"/>
      <c r="K21" s="8"/>
      <c r="L21" s="9"/>
    </row>
    <row r="22" spans="2:12" x14ac:dyDescent="0.2">
      <c r="B22" s="18">
        <v>9</v>
      </c>
      <c r="C22" s="18">
        <v>6</v>
      </c>
      <c r="D22" s="18">
        <v>1</v>
      </c>
      <c r="E22" s="1">
        <v>4.0000000000000001E-3</v>
      </c>
      <c r="F22" s="21">
        <f t="shared" ref="F22" si="8">AVERAGE(E22:E23)*100</f>
        <v>0.4</v>
      </c>
      <c r="G22" s="12">
        <v>0.58099999999999996</v>
      </c>
      <c r="H22" s="13"/>
      <c r="K22" s="8"/>
      <c r="L22" s="9"/>
    </row>
    <row r="23" spans="2:12" x14ac:dyDescent="0.2">
      <c r="B23" s="18"/>
      <c r="C23" s="18"/>
      <c r="D23" s="18"/>
      <c r="E23" s="1">
        <v>4.0000000000000001E-3</v>
      </c>
      <c r="F23" s="21"/>
      <c r="G23" s="14"/>
      <c r="H23" s="15"/>
      <c r="K23" s="8"/>
      <c r="L23" s="9"/>
    </row>
    <row r="24" spans="2:12" x14ac:dyDescent="0.2">
      <c r="B24" s="18"/>
      <c r="C24" s="18"/>
      <c r="D24" s="18">
        <v>2</v>
      </c>
      <c r="E24" s="1">
        <v>1.2E-2</v>
      </c>
      <c r="F24" s="21">
        <f t="shared" ref="F24" si="9">AVERAGE(E24:E25)*100</f>
        <v>1.0499999999999998</v>
      </c>
      <c r="G24" s="12">
        <v>0.90400000000000003</v>
      </c>
      <c r="H24" s="13"/>
      <c r="K24" s="8"/>
      <c r="L24" s="9"/>
    </row>
    <row r="25" spans="2:12" x14ac:dyDescent="0.2">
      <c r="B25" s="18"/>
      <c r="C25" s="18"/>
      <c r="D25" s="18"/>
      <c r="E25" s="1">
        <v>8.9999999999999993E-3</v>
      </c>
      <c r="F25" s="21"/>
      <c r="G25" s="14"/>
      <c r="H25" s="15"/>
      <c r="K25" s="8"/>
      <c r="L25" s="9"/>
    </row>
    <row r="26" spans="2:12" x14ac:dyDescent="0.2">
      <c r="B26" s="19">
        <v>10</v>
      </c>
      <c r="C26" s="19">
        <v>7</v>
      </c>
      <c r="D26" s="1">
        <v>1</v>
      </c>
      <c r="E26" s="1">
        <v>8.0000000000000002E-3</v>
      </c>
      <c r="F26" s="21">
        <f t="shared" ref="F26" si="10">AVERAGE(E26:E27)*100</f>
        <v>0.85000000000000009</v>
      </c>
      <c r="G26" s="12">
        <v>1.135</v>
      </c>
      <c r="H26" s="13"/>
      <c r="K26" s="8"/>
      <c r="L26" s="9"/>
    </row>
    <row r="27" spans="2:12" x14ac:dyDescent="0.2">
      <c r="B27" s="20"/>
      <c r="C27" s="20"/>
      <c r="D27" s="1">
        <v>2</v>
      </c>
      <c r="E27" s="1">
        <v>8.9999999999999993E-3</v>
      </c>
      <c r="F27" s="21"/>
      <c r="G27" s="14"/>
      <c r="H27" s="15"/>
      <c r="K27" s="8"/>
      <c r="L27" s="9"/>
    </row>
    <row r="28" spans="2:12" x14ac:dyDescent="0.2">
      <c r="B28" s="18">
        <v>10</v>
      </c>
      <c r="C28" s="18">
        <v>9</v>
      </c>
      <c r="D28" s="18">
        <v>1</v>
      </c>
      <c r="E28" s="1">
        <v>3.0000000000000001E-3</v>
      </c>
      <c r="F28" s="21">
        <f t="shared" ref="F28" si="11">AVERAGE(E28:E29)*100</f>
        <v>0.3</v>
      </c>
      <c r="G28" s="12">
        <v>1.2150000000000001</v>
      </c>
      <c r="H28" s="13"/>
      <c r="K28" s="8"/>
      <c r="L28" s="9"/>
    </row>
    <row r="29" spans="2:12" x14ac:dyDescent="0.2">
      <c r="B29" s="18"/>
      <c r="C29" s="18"/>
      <c r="D29" s="18"/>
      <c r="E29" s="1">
        <v>3.0000000000000001E-3</v>
      </c>
      <c r="F29" s="21"/>
      <c r="G29" s="14"/>
      <c r="H29" s="15"/>
      <c r="K29" s="8"/>
      <c r="L29" s="9"/>
    </row>
    <row r="30" spans="2:12" x14ac:dyDescent="0.2">
      <c r="B30" s="18"/>
      <c r="C30" s="18"/>
      <c r="D30" s="18">
        <v>2</v>
      </c>
      <c r="E30" s="1">
        <v>0.01</v>
      </c>
      <c r="F30" s="21">
        <f t="shared" ref="F30" si="12">AVERAGE(E30:E31)*100</f>
        <v>0.8</v>
      </c>
      <c r="G30" s="12">
        <v>0.90500000000000003</v>
      </c>
      <c r="H30" s="13"/>
      <c r="K30" s="8"/>
      <c r="L30" s="9"/>
    </row>
    <row r="31" spans="2:12" x14ac:dyDescent="0.2">
      <c r="B31" s="18"/>
      <c r="C31" s="18"/>
      <c r="D31" s="18"/>
      <c r="E31" s="1">
        <v>6.0000000000000001E-3</v>
      </c>
      <c r="F31" s="21"/>
      <c r="G31" s="14"/>
      <c r="H31" s="15"/>
      <c r="K31" s="8"/>
      <c r="L31" s="9"/>
    </row>
    <row r="32" spans="2:12" x14ac:dyDescent="0.2">
      <c r="B32" s="18">
        <v>10</v>
      </c>
      <c r="C32" s="18">
        <v>10</v>
      </c>
      <c r="D32" s="18">
        <v>1</v>
      </c>
      <c r="E32" s="1">
        <v>7.0000000000000001E-3</v>
      </c>
      <c r="F32" s="21">
        <f t="shared" ref="F32" si="13">AVERAGE(E32:E33)*100</f>
        <v>0.54999999999999993</v>
      </c>
      <c r="G32" s="12">
        <v>1.2350000000000001</v>
      </c>
      <c r="H32" s="13"/>
      <c r="K32" s="8"/>
      <c r="L32" s="9"/>
    </row>
    <row r="33" spans="2:12" x14ac:dyDescent="0.2">
      <c r="B33" s="18"/>
      <c r="C33" s="18"/>
      <c r="D33" s="18"/>
      <c r="E33" s="1">
        <v>4.0000000000000001E-3</v>
      </c>
      <c r="F33" s="21"/>
      <c r="G33" s="14"/>
      <c r="H33" s="15"/>
      <c r="K33" s="8"/>
      <c r="L33" s="9"/>
    </row>
    <row r="34" spans="2:12" x14ac:dyDescent="0.2">
      <c r="B34" s="18"/>
      <c r="C34" s="18"/>
      <c r="D34" s="18">
        <v>2</v>
      </c>
      <c r="E34" s="1">
        <v>1.2999999999999999E-2</v>
      </c>
      <c r="F34" s="21">
        <f t="shared" ref="F34" si="14">AVERAGE(E34:E35)*100</f>
        <v>1.0999999999999999</v>
      </c>
      <c r="G34" s="12">
        <v>0.871</v>
      </c>
      <c r="H34" s="13"/>
      <c r="K34" s="8"/>
      <c r="L34" s="9"/>
    </row>
    <row r="35" spans="2:12" x14ac:dyDescent="0.2">
      <c r="B35" s="18"/>
      <c r="C35" s="18"/>
      <c r="D35" s="18"/>
      <c r="E35" s="1">
        <v>8.9999999999999993E-3</v>
      </c>
      <c r="F35" s="21"/>
      <c r="G35" s="14"/>
      <c r="H35" s="15"/>
      <c r="K35" s="8"/>
      <c r="L35" s="9"/>
    </row>
  </sheetData>
  <mergeCells count="66">
    <mergeCell ref="B8:B9"/>
    <mergeCell ref="C8:C9"/>
    <mergeCell ref="B4:B7"/>
    <mergeCell ref="C4:C7"/>
    <mergeCell ref="D4:D5"/>
    <mergeCell ref="D6:D7"/>
    <mergeCell ref="C14:C17"/>
    <mergeCell ref="D14:D15"/>
    <mergeCell ref="F14:F15"/>
    <mergeCell ref="D16:D17"/>
    <mergeCell ref="F16:F17"/>
    <mergeCell ref="D34:D35"/>
    <mergeCell ref="F34:F35"/>
    <mergeCell ref="F8:F9"/>
    <mergeCell ref="B10:B11"/>
    <mergeCell ref="C10:C11"/>
    <mergeCell ref="F10:F11"/>
    <mergeCell ref="B12:B13"/>
    <mergeCell ref="C12:C13"/>
    <mergeCell ref="F12:F13"/>
    <mergeCell ref="B14:B17"/>
    <mergeCell ref="F28:F29"/>
    <mergeCell ref="F30:F31"/>
    <mergeCell ref="F24:F25"/>
    <mergeCell ref="F26:F27"/>
    <mergeCell ref="B32:B35"/>
    <mergeCell ref="C32:C35"/>
    <mergeCell ref="D32:D33"/>
    <mergeCell ref="F32:F33"/>
    <mergeCell ref="F4:F5"/>
    <mergeCell ref="F6:F7"/>
    <mergeCell ref="F18:F19"/>
    <mergeCell ref="F20:F21"/>
    <mergeCell ref="F22:F23"/>
    <mergeCell ref="G28:H29"/>
    <mergeCell ref="G3:H3"/>
    <mergeCell ref="D30:D31"/>
    <mergeCell ref="B22:B25"/>
    <mergeCell ref="C22:C25"/>
    <mergeCell ref="D22:D23"/>
    <mergeCell ref="D24:D25"/>
    <mergeCell ref="B26:B27"/>
    <mergeCell ref="C26:C27"/>
    <mergeCell ref="B18:B21"/>
    <mergeCell ref="C18:C21"/>
    <mergeCell ref="D18:D19"/>
    <mergeCell ref="D20:D21"/>
    <mergeCell ref="B28:B31"/>
    <mergeCell ref="C28:C31"/>
    <mergeCell ref="D28:D29"/>
    <mergeCell ref="G30:H31"/>
    <mergeCell ref="G32:H33"/>
    <mergeCell ref="G34:H35"/>
    <mergeCell ref="B1:H1"/>
    <mergeCell ref="G4:H5"/>
    <mergeCell ref="G6:H7"/>
    <mergeCell ref="G8:H9"/>
    <mergeCell ref="G10:H11"/>
    <mergeCell ref="G12:H13"/>
    <mergeCell ref="G14:H15"/>
    <mergeCell ref="G16:H17"/>
    <mergeCell ref="G18:H19"/>
    <mergeCell ref="G20:H21"/>
    <mergeCell ref="G22:H23"/>
    <mergeCell ref="G24:H25"/>
    <mergeCell ref="G26:H27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42E6-0058-7D47-BF6D-1B0D174D9EC1}">
  <dimension ref="A2:G37"/>
  <sheetViews>
    <sheetView zoomScale="108" workbookViewId="0">
      <selection activeCell="K24" sqref="K24"/>
    </sheetView>
  </sheetViews>
  <sheetFormatPr baseColWidth="10" defaultRowHeight="16" x14ac:dyDescent="0.2"/>
  <cols>
    <col min="2" max="2" width="20.6640625" customWidth="1"/>
    <col min="3" max="3" width="16.6640625" bestFit="1" customWidth="1"/>
    <col min="4" max="4" width="19.1640625" bestFit="1" customWidth="1"/>
  </cols>
  <sheetData>
    <row r="2" spans="1:7" ht="35" x14ac:dyDescent="0.2">
      <c r="B2" s="10" t="s">
        <v>33</v>
      </c>
      <c r="C2" s="10"/>
      <c r="D2" s="10"/>
      <c r="E2" s="10"/>
      <c r="F2" s="7"/>
      <c r="G2" s="7"/>
    </row>
    <row r="6" spans="1:7" ht="55" customHeight="1" x14ac:dyDescent="0.2">
      <c r="C6" s="4" t="s">
        <v>1</v>
      </c>
      <c r="D6" s="5" t="s">
        <v>34</v>
      </c>
    </row>
    <row r="7" spans="1:7" ht="20" x14ac:dyDescent="0.2">
      <c r="A7">
        <v>1</v>
      </c>
      <c r="C7" s="3" t="s">
        <v>20</v>
      </c>
      <c r="D7" s="6">
        <v>1.2349999999999999</v>
      </c>
    </row>
    <row r="8" spans="1:7" ht="20" x14ac:dyDescent="0.2">
      <c r="A8">
        <v>2</v>
      </c>
      <c r="C8" s="3" t="s">
        <v>21</v>
      </c>
      <c r="D8" s="6">
        <v>1.2145000000000001</v>
      </c>
    </row>
    <row r="9" spans="1:7" ht="20" x14ac:dyDescent="0.2">
      <c r="A9">
        <v>3</v>
      </c>
      <c r="C9" s="3" t="s">
        <v>22</v>
      </c>
      <c r="D9" s="6">
        <v>1.1345000000000001</v>
      </c>
    </row>
    <row r="10" spans="1:7" ht="20" x14ac:dyDescent="0.2">
      <c r="A10">
        <v>4</v>
      </c>
      <c r="C10" s="3" t="s">
        <v>23</v>
      </c>
      <c r="D10" s="6">
        <v>0.92700000000000005</v>
      </c>
    </row>
    <row r="11" spans="1:7" ht="20" x14ac:dyDescent="0.2">
      <c r="A11">
        <v>5</v>
      </c>
      <c r="C11" s="3" t="s">
        <v>24</v>
      </c>
      <c r="D11" s="6">
        <v>0.90449999999999997</v>
      </c>
    </row>
    <row r="12" spans="1:7" ht="20" x14ac:dyDescent="0.2">
      <c r="A12">
        <v>6</v>
      </c>
      <c r="C12" s="3" t="s">
        <v>25</v>
      </c>
      <c r="D12" s="6">
        <v>0.90349999999999997</v>
      </c>
    </row>
    <row r="13" spans="1:7" ht="20" x14ac:dyDescent="0.2">
      <c r="A13">
        <v>7</v>
      </c>
      <c r="C13" s="3" t="s">
        <v>26</v>
      </c>
      <c r="D13" s="6">
        <v>0.89450000000000007</v>
      </c>
    </row>
    <row r="14" spans="1:7" ht="20" x14ac:dyDescent="0.2">
      <c r="A14">
        <v>8</v>
      </c>
      <c r="C14" s="3" t="s">
        <v>27</v>
      </c>
      <c r="D14" s="6">
        <v>0.871</v>
      </c>
    </row>
    <row r="15" spans="1:7" ht="20" x14ac:dyDescent="0.2">
      <c r="A15">
        <v>9</v>
      </c>
      <c r="C15" s="3" t="s">
        <v>28</v>
      </c>
      <c r="D15" s="6">
        <v>0.83599999999999997</v>
      </c>
    </row>
    <row r="16" spans="1:7" ht="20" x14ac:dyDescent="0.2">
      <c r="A16">
        <v>10</v>
      </c>
      <c r="C16" s="3" t="s">
        <v>29</v>
      </c>
      <c r="D16" s="6">
        <v>0.83</v>
      </c>
    </row>
    <row r="17" spans="1:4" ht="20" x14ac:dyDescent="0.2">
      <c r="A17">
        <v>11</v>
      </c>
      <c r="C17" s="3" t="s">
        <v>30</v>
      </c>
      <c r="D17" s="6">
        <v>0.8085</v>
      </c>
    </row>
    <row r="18" spans="1:4" ht="20" x14ac:dyDescent="0.2">
      <c r="A18">
        <v>12</v>
      </c>
      <c r="C18" s="3" t="s">
        <v>31</v>
      </c>
      <c r="D18" s="6">
        <v>0.69700000000000006</v>
      </c>
    </row>
    <row r="19" spans="1:4" ht="20" x14ac:dyDescent="0.2">
      <c r="A19">
        <v>13</v>
      </c>
      <c r="C19" s="3" t="s">
        <v>32</v>
      </c>
      <c r="D19" s="6">
        <v>0.64450000000000007</v>
      </c>
    </row>
    <row r="20" spans="1:4" ht="20" customHeight="1" x14ac:dyDescent="0.2">
      <c r="A20">
        <v>14</v>
      </c>
      <c r="B20" s="22" t="s">
        <v>35</v>
      </c>
      <c r="C20" s="3" t="s">
        <v>5</v>
      </c>
      <c r="D20" s="6">
        <v>0.82599999999999996</v>
      </c>
    </row>
    <row r="21" spans="1:4" ht="25" customHeight="1" x14ac:dyDescent="0.2">
      <c r="A21">
        <v>15</v>
      </c>
      <c r="B21" s="23"/>
      <c r="C21" s="3" t="s">
        <v>6</v>
      </c>
      <c r="D21" s="3">
        <v>1.1659999999999999</v>
      </c>
    </row>
    <row r="22" spans="1:4" ht="25" customHeight="1" x14ac:dyDescent="0.2">
      <c r="A22">
        <v>16</v>
      </c>
      <c r="B22" s="23"/>
      <c r="C22" s="3" t="s">
        <v>7</v>
      </c>
      <c r="D22" s="3">
        <v>0.96199999999999997</v>
      </c>
    </row>
    <row r="23" spans="1:4" ht="25" customHeight="1" x14ac:dyDescent="0.2">
      <c r="A23">
        <v>17</v>
      </c>
      <c r="B23" s="23"/>
      <c r="C23" s="3" t="s">
        <v>8</v>
      </c>
      <c r="D23" s="3">
        <v>0.81699999999999995</v>
      </c>
    </row>
    <row r="24" spans="1:4" ht="25" customHeight="1" x14ac:dyDescent="0.2">
      <c r="A24">
        <v>18</v>
      </c>
      <c r="B24" s="23"/>
      <c r="C24" s="3" t="s">
        <v>9</v>
      </c>
      <c r="D24" s="3">
        <v>0.64600000000000002</v>
      </c>
    </row>
    <row r="25" spans="1:4" ht="25" customHeight="1" x14ac:dyDescent="0.2">
      <c r="A25">
        <v>19</v>
      </c>
      <c r="B25" s="23"/>
      <c r="C25" s="3" t="s">
        <v>10</v>
      </c>
      <c r="D25" s="3">
        <v>1.175</v>
      </c>
    </row>
    <row r="26" spans="1:4" ht="25" customHeight="1" x14ac:dyDescent="0.2">
      <c r="A26">
        <v>20</v>
      </c>
      <c r="B26" s="23"/>
      <c r="C26" s="3" t="s">
        <v>11</v>
      </c>
      <c r="D26" s="3">
        <v>0.84799999999999998</v>
      </c>
    </row>
    <row r="27" spans="1:4" ht="25" customHeight="1" x14ac:dyDescent="0.2">
      <c r="A27">
        <v>21</v>
      </c>
      <c r="B27" s="23"/>
      <c r="C27" s="3" t="s">
        <v>12</v>
      </c>
      <c r="D27" s="3">
        <v>0.76600000000000001</v>
      </c>
    </row>
    <row r="28" spans="1:4" ht="25" customHeight="1" x14ac:dyDescent="0.2">
      <c r="A28">
        <v>22</v>
      </c>
      <c r="B28" s="23"/>
      <c r="C28" s="3" t="s">
        <v>13</v>
      </c>
      <c r="D28" s="3">
        <v>1.1759999999999999</v>
      </c>
    </row>
    <row r="29" spans="1:4" ht="25" customHeight="1" x14ac:dyDescent="0.2">
      <c r="A29">
        <v>23</v>
      </c>
      <c r="B29" s="23"/>
      <c r="C29" s="3" t="s">
        <v>14</v>
      </c>
      <c r="D29" s="3">
        <v>0.84099999999999997</v>
      </c>
    </row>
    <row r="30" spans="1:4" ht="25" customHeight="1" x14ac:dyDescent="0.2">
      <c r="A30">
        <v>24</v>
      </c>
      <c r="B30" s="23"/>
      <c r="C30" s="3" t="s">
        <v>15</v>
      </c>
      <c r="D30" s="3">
        <v>0.93400000000000005</v>
      </c>
    </row>
    <row r="31" spans="1:4" ht="25" customHeight="1" x14ac:dyDescent="0.2">
      <c r="A31">
        <v>25</v>
      </c>
      <c r="B31" s="23"/>
      <c r="C31" s="3" t="s">
        <v>16</v>
      </c>
      <c r="D31" s="3">
        <v>1.671</v>
      </c>
    </row>
    <row r="32" spans="1:4" ht="25" customHeight="1" x14ac:dyDescent="0.2">
      <c r="A32">
        <v>26</v>
      </c>
      <c r="B32" s="23"/>
      <c r="C32" s="3" t="s">
        <v>17</v>
      </c>
      <c r="D32" s="3">
        <v>1.224</v>
      </c>
    </row>
    <row r="33" spans="1:4" ht="25" customHeight="1" x14ac:dyDescent="0.2">
      <c r="A33">
        <v>27</v>
      </c>
      <c r="B33" s="23"/>
      <c r="C33" s="3" t="s">
        <v>18</v>
      </c>
      <c r="D33" s="3">
        <v>1.498</v>
      </c>
    </row>
    <row r="34" spans="1:4" ht="25" customHeight="1" x14ac:dyDescent="0.2">
      <c r="A34">
        <v>28</v>
      </c>
      <c r="B34" s="24"/>
      <c r="C34" s="3" t="s">
        <v>19</v>
      </c>
      <c r="D34" s="3">
        <v>1.554</v>
      </c>
    </row>
    <row r="37" spans="1:4" ht="25" x14ac:dyDescent="0.2">
      <c r="C37" s="4" t="s">
        <v>36</v>
      </c>
      <c r="D37" s="4">
        <v>28</v>
      </c>
    </row>
  </sheetData>
  <mergeCells count="2">
    <mergeCell ref="B20:B34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Friday</vt:lpstr>
      <vt:lpstr>Stock 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Escobar</dc:creator>
  <cp:lastModifiedBy>Rafael Escobar</cp:lastModifiedBy>
  <dcterms:created xsi:type="dcterms:W3CDTF">2026-05-29T20:32:40Z</dcterms:created>
  <dcterms:modified xsi:type="dcterms:W3CDTF">2026-06-01T04:00:25Z</dcterms:modified>
</cp:coreProperties>
</file>